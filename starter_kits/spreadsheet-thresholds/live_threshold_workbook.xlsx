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Demo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Score_Rules" sheetId="3" state="visible" r:id="rId3"/>
    <sheet xmlns:r="http://schemas.openxmlformats.org/officeDocument/2006/relationships" name="Decision_Matrix" sheetId="4" state="visible" r:id="rId4"/>
    <sheet xmlns:r="http://schemas.openxmlformats.org/officeDocument/2006/relationships" name="Variant_Score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43447"/>
      <sz val="18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24344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  <xf numFmtId="9" fontId="0" fillId="4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Variant score by live threshold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'Variant_Scores'!F1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'Variant_Scores'!$A$2:$A$6</f>
            </numRef>
          </cat>
          <val>
            <numRef>
              <f>'Variant_Scores'!$F$2:$F$6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riteriaTable" displayName="CriteriaTable" ref="A1:G6" headerRowCount="1">
  <autoFilter ref="A1:G6"/>
  <tableColumns count="7">
    <tableColumn id="1" name="criterion"/>
    <tableColumn id="2" name="unit"/>
    <tableColumn id="3" name="direction"/>
    <tableColumn id="4" name="threshold"/>
    <tableColumn id="5" name="review_margin"/>
    <tableColumn id="6" name="weight"/>
    <tableColumn id="7" name="discussion_promp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oreRulesTable" displayName="ScoreRulesTable" ref="A1:C4" headerRowCount="1">
  <autoFilter ref="A1:C4"/>
  <tableColumns count="3">
    <tableColumn id="1" name="rule"/>
    <tableColumn id="2" name="value"/>
    <tableColumn id="3" name="what changes when edi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cisionMatrixTable" displayName="DecisionMatrixTable" ref="A1:M26" headerRowCount="1">
  <autoFilter ref="A1:M26"/>
  <tableColumns count="13">
    <tableColumn id="1" name="variant"/>
    <tableColumn id="2" name="criterion"/>
    <tableColumn id="3" name="value"/>
    <tableColumn id="4" name="unit"/>
    <tableColumn id="5" name="source"/>
    <tableColumn id="6" name="confidence"/>
    <tableColumn id="7" name="direction"/>
    <tableColumn id="8" name="threshold"/>
    <tableColumn id="9" name="review_margin"/>
    <tableColumn id="10" name="weight"/>
    <tableColumn id="11" name="live_status"/>
    <tableColumn id="12" name="weighted_points"/>
    <tableColumn id="13" name="sour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riantScoresTable" displayName="VariantScoresTable" ref="A1:J6" headerRowCount="1">
  <autoFilter ref="A1:J6"/>
  <tableColumns count="10">
    <tableColumn id="1" name="variant"/>
    <tableColumn id="2" name="pass_count"/>
    <tableColumn id="3" name="review_count"/>
    <tableColumn id="4" name="fail_count"/>
    <tableColumn id="5" name="total_criteria"/>
    <tableColumn id="6" name="score_pct"/>
    <tableColumn id="7" name="status"/>
    <tableColumn id="8" name="rank"/>
    <tableColumn id="9" name="decision_note"/>
    <tableColumn id="10" name="gh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Week 3 live threshold workbook</t>
        </is>
      </c>
    </row>
    <row r="3">
      <c r="A3" s="2" t="inlineStr">
        <is>
          <t>Use this live:</t>
        </is>
      </c>
    </row>
    <row r="4">
      <c r="A4" t="inlineStr">
        <is>
          <t>1. Open the Criteria sheet.</t>
        </is>
      </c>
    </row>
    <row r="5">
      <c r="A5" t="inlineStr">
        <is>
          <t>2. Change the yellow threshold cells.</t>
        </is>
      </c>
    </row>
    <row r="6">
      <c r="A6" t="inlineStr">
        <is>
          <t>3. Watch Decision_Matrix update pass/review/fail colors.</t>
        </is>
      </c>
    </row>
    <row r="7">
      <c r="A7" t="inlineStr">
        <is>
          <t>4. Open Score_Rules and change the candidate score or failure limit.</t>
        </is>
      </c>
    </row>
    <row r="8">
      <c r="A8" t="inlineStr">
        <is>
          <t>5. Watch Variant_Scores update the status, rank, and chart.</t>
        </is>
      </c>
    </row>
    <row r="9">
      <c r="A9" t="inlineStr">
        <is>
          <t>6. Export Variant_Scores as variant_scores.csv for Grasshopper.</t>
        </is>
      </c>
    </row>
    <row r="11">
      <c r="A11" s="2" t="inlineStr">
        <is>
          <t>Teaching question</t>
        </is>
      </c>
    </row>
    <row r="12">
      <c r="A12" s="3" t="inlineStr">
        <is>
          <t>Which threshold is actually a design judgment rather than a fact?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72" customWidth="1" min="7" max="7"/>
  </cols>
  <sheetData>
    <row r="1">
      <c r="A1" s="4" t="inlineStr">
        <is>
          <t>criterion</t>
        </is>
      </c>
      <c r="B1" s="4" t="inlineStr">
        <is>
          <t>unit</t>
        </is>
      </c>
      <c r="C1" s="4" t="inlineStr">
        <is>
          <t>direction</t>
        </is>
      </c>
      <c r="D1" s="4" t="inlineStr">
        <is>
          <t>threshold</t>
        </is>
      </c>
      <c r="E1" s="4" t="inlineStr">
        <is>
          <t>review_margin</t>
        </is>
      </c>
      <c r="F1" s="4" t="inlineStr">
        <is>
          <t>weight</t>
        </is>
      </c>
      <c r="G1" s="4" t="inlineStr">
        <is>
          <t>discussion_prompt</t>
        </is>
      </c>
    </row>
    <row r="2">
      <c r="A2" t="inlineStr">
        <is>
          <t>morning glare</t>
        </is>
      </c>
      <c r="B2" t="inlineStr">
        <is>
          <t>h/day</t>
        </is>
      </c>
      <c r="C2" t="inlineStr">
        <is>
          <t>&lt;=</t>
        </is>
      </c>
      <c r="D2" s="5" t="n">
        <v>2</v>
      </c>
      <c r="E2" s="6" t="n">
        <v>0.15</v>
      </c>
      <c r="F2" s="6" t="n">
        <v>0.25</v>
      </c>
      <c r="G2" s="7" t="inlineStr">
        <is>
          <t>How much direct glare is acceptable before the workspace claim weakens?</t>
        </is>
      </c>
    </row>
    <row r="3">
      <c r="A3" t="inlineStr">
        <is>
          <t>view openness</t>
        </is>
      </c>
      <c r="B3" t="inlineStr">
        <is>
          <t>fraction</t>
        </is>
      </c>
      <c r="C3" t="inlineStr">
        <is>
          <t>&gt;=</t>
        </is>
      </c>
      <c r="D3" s="5" t="n">
        <v>0.55</v>
      </c>
      <c r="E3" s="6" t="n">
        <v>0.05</v>
      </c>
      <c r="F3" s="6" t="n">
        <v>0.2</v>
      </c>
      <c r="G3" s="7" t="inlineStr">
        <is>
          <t>How much visual openness must remain after shading or planting?</t>
        </is>
      </c>
    </row>
    <row r="4">
      <c r="A4" t="inlineStr">
        <is>
          <t>planting depth</t>
        </is>
      </c>
      <c r="B4" t="inlineStr">
        <is>
          <t>m</t>
        </is>
      </c>
      <c r="C4" t="inlineStr">
        <is>
          <t>&gt;=</t>
        </is>
      </c>
      <c r="D4" s="5" t="n">
        <v>0.8</v>
      </c>
      <c r="E4" s="6" t="n">
        <v>0.05</v>
      </c>
      <c r="F4" s="6" t="n">
        <v>0.15</v>
      </c>
      <c r="G4" s="7" t="inlineStr">
        <is>
          <t>What minimum soil depth makes the greenery claim credible?</t>
        </is>
      </c>
    </row>
    <row r="5">
      <c r="A5" t="inlineStr">
        <is>
          <t>solar gain proxy</t>
        </is>
      </c>
      <c r="B5" t="inlineStr">
        <is>
          <t>index</t>
        </is>
      </c>
      <c r="C5" t="inlineStr">
        <is>
          <t>&lt;=</t>
        </is>
      </c>
      <c r="D5" s="5" t="n">
        <v>48</v>
      </c>
      <c r="E5" s="6" t="n">
        <v>0.1</v>
      </c>
      <c r="F5" s="6" t="n">
        <v>0.25</v>
      </c>
      <c r="G5" s="7" t="inlineStr">
        <is>
          <t>How low must the heat proxy be before the facade strategy is worth developing?</t>
        </is>
      </c>
    </row>
    <row r="6">
      <c r="A6" t="inlineStr">
        <is>
          <t>added facade depth</t>
        </is>
      </c>
      <c r="B6" t="inlineStr">
        <is>
          <t>m</t>
        </is>
      </c>
      <c r="C6" t="inlineStr">
        <is>
          <t>&lt;=</t>
        </is>
      </c>
      <c r="D6" s="5" t="n">
        <v>0.75</v>
      </c>
      <c r="E6" s="6" t="n">
        <v>0.1</v>
      </c>
      <c r="F6" s="6" t="n">
        <v>0.15</v>
      </c>
      <c r="G6" s="7" t="inlineStr">
        <is>
          <t>How much facade depth can the project tolerate before the solution creates a new problem?</t>
        </is>
      </c>
    </row>
  </sheetData>
  <dataValidations count="1">
    <dataValidation sqref="C2:C6" showDropDown="0" showInputMessage="0" showErrorMessage="0" allowBlank="0" type="list">
      <formula1>"&lt;=,&gt;="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76" customWidth="1" min="3" max="3"/>
  </cols>
  <sheetData>
    <row r="1">
      <c r="A1" s="4" t="inlineStr">
        <is>
          <t>rule</t>
        </is>
      </c>
      <c r="B1" s="4" t="inlineStr">
        <is>
          <t>value</t>
        </is>
      </c>
      <c r="C1" s="4" t="inlineStr">
        <is>
          <t>what changes when edited</t>
        </is>
      </c>
    </row>
    <row r="2">
      <c r="A2" t="inlineStr">
        <is>
          <t>candidate_min_score</t>
        </is>
      </c>
      <c r="B2" s="5" t="n">
        <v>80</v>
      </c>
      <c r="C2" s="7" t="inlineStr">
        <is>
          <t>Minimum weighted score for a variant to count as a candidate.</t>
        </is>
      </c>
    </row>
    <row r="3">
      <c r="A3" t="inlineStr">
        <is>
          <t>revise_if_fail_count_at_least</t>
        </is>
      </c>
      <c r="B3" s="5" t="n">
        <v>2</v>
      </c>
      <c r="C3" s="7" t="inlineStr">
        <is>
          <t>A variant with this many failed criteria is forced to revise, even if the score looks high.</t>
        </is>
      </c>
    </row>
    <row r="4">
      <c r="A4" t="inlineStr">
        <is>
          <t>review_score_floor</t>
        </is>
      </c>
      <c r="B4" s="5" t="n">
        <v>50</v>
      </c>
      <c r="C4" s="7" t="inlineStr">
        <is>
          <t>Below this score, a non-candidate is treated as revise rather than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28" customWidth="1" min="5" max="5"/>
    <col width="12" customWidth="1" min="6" max="6"/>
    <col width="10" customWidth="1" min="7" max="7"/>
    <col width="12" customWidth="1" min="8" max="8"/>
    <col width="15" customWidth="1" min="9" max="9"/>
    <col width="10" customWidth="1" min="10" max="10"/>
    <col width="14" customWidth="1" min="11" max="11"/>
    <col width="16" customWidth="1" min="12" max="12"/>
    <col width="48" customWidth="1" min="13" max="13"/>
  </cols>
  <sheetData>
    <row r="1">
      <c r="A1" s="4" t="inlineStr">
        <is>
          <t>variant</t>
        </is>
      </c>
      <c r="B1" s="4" t="inlineStr">
        <is>
          <t>criterion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source</t>
        </is>
      </c>
      <c r="F1" s="4" t="inlineStr">
        <is>
          <t>confidence</t>
        </is>
      </c>
      <c r="G1" s="4" t="inlineStr">
        <is>
          <t>direction</t>
        </is>
      </c>
      <c r="H1" s="4" t="inlineStr">
        <is>
          <t>threshold</t>
        </is>
      </c>
      <c r="I1" s="4" t="inlineStr">
        <is>
          <t>review_margin</t>
        </is>
      </c>
      <c r="J1" s="4" t="inlineStr">
        <is>
          <t>weight</t>
        </is>
      </c>
      <c r="K1" s="4" t="inlineStr">
        <is>
          <t>live_status</t>
        </is>
      </c>
      <c r="L1" s="4" t="inlineStr">
        <is>
          <t>weighted_points</t>
        </is>
      </c>
      <c r="M1" s="4" t="inlineStr">
        <is>
          <t>source_note</t>
        </is>
      </c>
    </row>
    <row r="2">
      <c r="A2" t="inlineStr">
        <is>
          <t>Baseline</t>
        </is>
      </c>
      <c r="B2" t="inlineStr">
        <is>
          <t>morning glare</t>
        </is>
      </c>
      <c r="C2" t="n">
        <v>2.8</v>
      </c>
      <c r="D2" t="inlineStr">
        <is>
          <t>h/day</t>
        </is>
      </c>
      <c r="E2" t="inlineStr">
        <is>
          <t>student sun-path check</t>
        </is>
      </c>
      <c r="F2" t="inlineStr">
        <is>
          <t>medium</t>
        </is>
      </c>
      <c r="G2">
        <f>VLOOKUP(B2,Criteria!$A:$G,3,FALSE)</f>
        <v/>
      </c>
      <c r="H2">
        <f>VLOOKUP(B2,Criteria!$A:$G,4,FALSE)</f>
        <v/>
      </c>
      <c r="I2" s="8">
        <f>VLOOKUP(B2,Criteria!$A:$G,5,FALSE)</f>
        <v/>
      </c>
      <c r="J2" s="8">
        <f>VLOOKUP(B2,Criteria!$A:$G,6,FALSE)</f>
        <v/>
      </c>
      <c r="K2">
        <f>IF(G2="&lt;=",IF(C2&lt;=H2,"pass",IF(C2&lt;=H2*(1+I2),"review","fail")),IF(C2&gt;=H2,"pass",IF(C2&gt;=H2*(1-I2),"review","fail")))</f>
        <v/>
      </c>
      <c r="L2" s="8">
        <f>IF(K2="pass",J2,IF(K2="review",J2*0.5,0))</f>
        <v/>
      </c>
      <c r="M2" s="7" t="inlineStr">
        <is>
          <t>Too much direct morning glare for desk use</t>
        </is>
      </c>
    </row>
    <row r="3">
      <c r="A3" t="inlineStr">
        <is>
          <t>Baseline</t>
        </is>
      </c>
      <c r="B3" t="inlineStr">
        <is>
          <t>view openness</t>
        </is>
      </c>
      <c r="C3" t="n">
        <v>0.74</v>
      </c>
      <c r="D3" t="inlineStr">
        <is>
          <t>fraction</t>
        </is>
      </c>
      <c r="E3" t="inlineStr">
        <is>
          <t>facade elevation takeoff</t>
        </is>
      </c>
      <c r="F3" t="inlineStr">
        <is>
          <t>medium</t>
        </is>
      </c>
      <c r="G3">
        <f>VLOOKUP(B3,Criteria!$A:$G,3,FALSE)</f>
        <v/>
      </c>
      <c r="H3">
        <f>VLOOKUP(B3,Criteria!$A:$G,4,FALSE)</f>
        <v/>
      </c>
      <c r="I3" s="8">
        <f>VLOOKUP(B3,Criteria!$A:$G,5,FALSE)</f>
        <v/>
      </c>
      <c r="J3" s="8">
        <f>VLOOKUP(B3,Criteria!$A:$G,6,FALSE)</f>
        <v/>
      </c>
      <c r="K3">
        <f>IF(G3="&lt;=",IF(C3&lt;=H3,"pass",IF(C3&lt;=H3*(1+I3),"review","fail")),IF(C3&gt;=H3,"pass",IF(C3&gt;=H3*(1-I3),"review","fail")))</f>
        <v/>
      </c>
      <c r="L3" s="8">
        <f>IF(K3="pass",J3,IF(K3="review",J3*0.5,0))</f>
        <v/>
      </c>
      <c r="M3" s="7" t="inlineStr">
        <is>
          <t>Good visual connection but no glare control</t>
        </is>
      </c>
    </row>
    <row r="4">
      <c r="A4" t="inlineStr">
        <is>
          <t>Baseline</t>
        </is>
      </c>
      <c r="B4" t="inlineStr">
        <is>
          <t>planting depth</t>
        </is>
      </c>
      <c r="C4" t="n">
        <v>0.6</v>
      </c>
      <c r="D4" t="inlineStr">
        <is>
          <t>m</t>
        </is>
      </c>
      <c r="E4" t="inlineStr">
        <is>
          <t>studio section</t>
        </is>
      </c>
      <c r="F4" t="inlineStr">
        <is>
          <t>high</t>
        </is>
      </c>
      <c r="G4">
        <f>VLOOKUP(B4,Criteria!$A:$G,3,FALSE)</f>
        <v/>
      </c>
      <c r="H4">
        <f>VLOOKUP(B4,Criteria!$A:$G,4,FALSE)</f>
        <v/>
      </c>
      <c r="I4" s="8">
        <f>VLOOKUP(B4,Criteria!$A:$G,5,FALSE)</f>
        <v/>
      </c>
      <c r="J4" s="8">
        <f>VLOOKUP(B4,Criteria!$A:$G,6,FALSE)</f>
        <v/>
      </c>
      <c r="K4">
        <f>IF(G4="&lt;=",IF(C4&lt;=H4,"pass",IF(C4&lt;=H4*(1+I4),"review","fail")),IF(C4&gt;=H4,"pass",IF(C4&gt;=H4*(1-I4),"review","fail")))</f>
        <v/>
      </c>
      <c r="L4" s="8">
        <f>IF(K4="pass",J4,IF(K4="review",J4*0.5,0))</f>
        <v/>
      </c>
      <c r="M4" s="7" t="inlineStr">
        <is>
          <t>Planter is too shallow for the stated cooling claim</t>
        </is>
      </c>
    </row>
    <row r="5">
      <c r="A5" t="inlineStr">
        <is>
          <t>Baseline</t>
        </is>
      </c>
      <c r="B5" t="inlineStr">
        <is>
          <t>solar gain proxy</t>
        </is>
      </c>
      <c r="C5" t="n">
        <v>72</v>
      </c>
      <c r="D5" t="inlineStr">
        <is>
          <t>index</t>
        </is>
      </c>
      <c r="E5" t="inlineStr">
        <is>
          <t>spreadsheet proxy</t>
        </is>
      </c>
      <c r="F5" t="inlineStr">
        <is>
          <t>medium</t>
        </is>
      </c>
      <c r="G5">
        <f>VLOOKUP(B5,Criteria!$A:$G,3,FALSE)</f>
        <v/>
      </c>
      <c r="H5">
        <f>VLOOKUP(B5,Criteria!$A:$G,4,FALSE)</f>
        <v/>
      </c>
      <c r="I5" s="8">
        <f>VLOOKUP(B5,Criteria!$A:$G,5,FALSE)</f>
        <v/>
      </c>
      <c r="J5" s="8">
        <f>VLOOKUP(B5,Criteria!$A:$G,6,FALSE)</f>
        <v/>
      </c>
      <c r="K5">
        <f>IF(G5="&lt;=",IF(C5&lt;=H5,"pass",IF(C5&lt;=H5*(1+I5),"review","fail")),IF(C5&gt;=H5,"pass",IF(C5&gt;=H5*(1-I5),"review","fail")))</f>
        <v/>
      </c>
      <c r="L5" s="8">
        <f>IF(K5="pass",J5,IF(K5="review",J5*0.5,0))</f>
        <v/>
      </c>
      <c r="M5" s="7" t="inlineStr">
        <is>
          <t>Unshaded glass keeps heat risk high</t>
        </is>
      </c>
    </row>
    <row r="6">
      <c r="A6" t="inlineStr">
        <is>
          <t>Baseline</t>
        </is>
      </c>
      <c r="B6" t="inlineStr">
        <is>
          <t>added facade depth</t>
        </is>
      </c>
      <c r="C6" t="n">
        <v>0</v>
      </c>
      <c r="D6" t="inlineStr">
        <is>
          <t>m</t>
        </is>
      </c>
      <c r="E6" t="inlineStr">
        <is>
          <t>studio section</t>
        </is>
      </c>
      <c r="F6" t="inlineStr">
        <is>
          <t>high</t>
        </is>
      </c>
      <c r="G6">
        <f>VLOOKUP(B6,Criteria!$A:$G,3,FALSE)</f>
        <v/>
      </c>
      <c r="H6">
        <f>VLOOKUP(B6,Criteria!$A:$G,4,FALSE)</f>
        <v/>
      </c>
      <c r="I6" s="8">
        <f>VLOOKUP(B6,Criteria!$A:$G,5,FALSE)</f>
        <v/>
      </c>
      <c r="J6" s="8">
        <f>VLOOKUP(B6,Criteria!$A:$G,6,FALSE)</f>
        <v/>
      </c>
      <c r="K6">
        <f>IF(G6="&lt;=",IF(C6&lt;=H6,"pass",IF(C6&lt;=H6*(1+I6),"review","fail")),IF(C6&gt;=H6,"pass",IF(C6&gt;=H6*(1-I6),"review","fail")))</f>
        <v/>
      </c>
      <c r="L6" s="8">
        <f>IF(K6="pass",J6,IF(K6="review",J6*0.5,0))</f>
        <v/>
      </c>
      <c r="M6" s="7" t="inlineStr">
        <is>
          <t>No depth conflict</t>
        </is>
      </c>
    </row>
    <row r="7">
      <c r="A7" t="inlineStr">
        <is>
          <t>Deep fins</t>
        </is>
      </c>
      <c r="B7" t="inlineStr">
        <is>
          <t>morning glare</t>
        </is>
      </c>
      <c r="C7" t="n">
        <v>1.5</v>
      </c>
      <c r="D7" t="inlineStr">
        <is>
          <t>h/day</t>
        </is>
      </c>
      <c r="E7" t="inlineStr">
        <is>
          <t>proxy model</t>
        </is>
      </c>
      <c r="F7" t="inlineStr">
        <is>
          <t>medium</t>
        </is>
      </c>
      <c r="G7">
        <f>VLOOKUP(B7,Criteria!$A:$G,3,FALSE)</f>
        <v/>
      </c>
      <c r="H7">
        <f>VLOOKUP(B7,Criteria!$A:$G,4,FALSE)</f>
        <v/>
      </c>
      <c r="I7" s="8">
        <f>VLOOKUP(B7,Criteria!$A:$G,5,FALSE)</f>
        <v/>
      </c>
      <c r="J7" s="8">
        <f>VLOOKUP(B7,Criteria!$A:$G,6,FALSE)</f>
        <v/>
      </c>
      <c r="K7">
        <f>IF(G7="&lt;=",IF(C7&lt;=H7,"pass",IF(C7&lt;=H7*(1+I7),"review","fail")),IF(C7&gt;=H7,"pass",IF(C7&gt;=H7*(1-I7),"review","fail")))</f>
        <v/>
      </c>
      <c r="L7" s="8">
        <f>IF(K7="pass",J7,IF(K7="review",J7*0.5,0))</f>
        <v/>
      </c>
      <c r="M7" s="7" t="inlineStr">
        <is>
          <t>Fins reduce glare below threshold</t>
        </is>
      </c>
    </row>
    <row r="8">
      <c r="A8" t="inlineStr">
        <is>
          <t>Deep fins</t>
        </is>
      </c>
      <c r="B8" t="inlineStr">
        <is>
          <t>view openness</t>
        </is>
      </c>
      <c r="C8" t="n">
        <v>0.58</v>
      </c>
      <c r="D8" t="inlineStr">
        <is>
          <t>fraction</t>
        </is>
      </c>
      <c r="E8" t="inlineStr">
        <is>
          <t>facade elevation takeoff</t>
        </is>
      </c>
      <c r="F8" t="inlineStr">
        <is>
          <t>medium</t>
        </is>
      </c>
      <c r="G8">
        <f>VLOOKUP(B8,Criteria!$A:$G,3,FALSE)</f>
        <v/>
      </c>
      <c r="H8">
        <f>VLOOKUP(B8,Criteria!$A:$G,4,FALSE)</f>
        <v/>
      </c>
      <c r="I8" s="8">
        <f>VLOOKUP(B8,Criteria!$A:$G,5,FALSE)</f>
        <v/>
      </c>
      <c r="J8" s="8">
        <f>VLOOKUP(B8,Criteria!$A:$G,6,FALSE)</f>
        <v/>
      </c>
      <c r="K8">
        <f>IF(G8="&lt;=",IF(C8&lt;=H8,"pass",IF(C8&lt;=H8*(1+I8),"review","fail")),IF(C8&gt;=H8,"pass",IF(C8&gt;=H8*(1-I8),"review","fail")))</f>
        <v/>
      </c>
      <c r="L8" s="8">
        <f>IF(K8="pass",J8,IF(K8="review",J8*0.5,0))</f>
        <v/>
      </c>
      <c r="M8" s="7" t="inlineStr">
        <is>
          <t>View remains acceptable</t>
        </is>
      </c>
    </row>
    <row r="9">
      <c r="A9" t="inlineStr">
        <is>
          <t>Deep fins</t>
        </is>
      </c>
      <c r="B9" t="inlineStr">
        <is>
          <t>planting depth</t>
        </is>
      </c>
      <c r="C9" t="n">
        <v>0.8</v>
      </c>
      <c r="D9" t="inlineStr">
        <is>
          <t>m</t>
        </is>
      </c>
      <c r="E9" t="inlineStr">
        <is>
          <t>studio section</t>
        </is>
      </c>
      <c r="F9" t="inlineStr">
        <is>
          <t>high</t>
        </is>
      </c>
      <c r="G9">
        <f>VLOOKUP(B9,Criteria!$A:$G,3,FALSE)</f>
        <v/>
      </c>
      <c r="H9">
        <f>VLOOKUP(B9,Criteria!$A:$G,4,FALSE)</f>
        <v/>
      </c>
      <c r="I9" s="8">
        <f>VLOOKUP(B9,Criteria!$A:$G,5,FALSE)</f>
        <v/>
      </c>
      <c r="J9" s="8">
        <f>VLOOKUP(B9,Criteria!$A:$G,6,FALSE)</f>
        <v/>
      </c>
      <c r="K9">
        <f>IF(G9="&lt;=",IF(C9&lt;=H9,"pass",IF(C9&lt;=H9*(1+I9),"review","fail")),IF(C9&gt;=H9,"pass",IF(C9&gt;=H9*(1-I9),"review","fail")))</f>
        <v/>
      </c>
      <c r="L9" s="8">
        <f>IF(K9="pass",J9,IF(K9="review",J9*0.5,0))</f>
        <v/>
      </c>
      <c r="M9" s="7" t="inlineStr">
        <is>
          <t>Meets minimum planting claim</t>
        </is>
      </c>
    </row>
    <row r="10">
      <c r="A10" t="inlineStr">
        <is>
          <t>Deep fins</t>
        </is>
      </c>
      <c r="B10" t="inlineStr">
        <is>
          <t>solar gain proxy</t>
        </is>
      </c>
      <c r="C10" t="n">
        <v>31.3</v>
      </c>
      <c r="D10" t="inlineStr">
        <is>
          <t>index</t>
        </is>
      </c>
      <c r="E10" t="inlineStr">
        <is>
          <t>spreadsheet proxy</t>
        </is>
      </c>
      <c r="F10" t="inlineStr">
        <is>
          <t>medium</t>
        </is>
      </c>
      <c r="G10">
        <f>VLOOKUP(B10,Criteria!$A:$G,3,FALSE)</f>
        <v/>
      </c>
      <c r="H10">
        <f>VLOOKUP(B10,Criteria!$A:$G,4,FALSE)</f>
        <v/>
      </c>
      <c r="I10" s="8">
        <f>VLOOKUP(B10,Criteria!$A:$G,5,FALSE)</f>
        <v/>
      </c>
      <c r="J10" s="8">
        <f>VLOOKUP(B10,Criteria!$A:$G,6,FALSE)</f>
        <v/>
      </c>
      <c r="K10">
        <f>IF(G10="&lt;=",IF(C10&lt;=H10,"pass",IF(C10&lt;=H10*(1+I10),"review","fail")),IF(C10&gt;=H10,"pass",IF(C10&gt;=H10*(1-I10),"review","fail")))</f>
        <v/>
      </c>
      <c r="L10" s="8">
        <f>IF(K10="pass",J10,IF(K10="review",J10*0.5,0))</f>
        <v/>
      </c>
      <c r="M10" s="7" t="inlineStr">
        <is>
          <t>Strongest solar reduction</t>
        </is>
      </c>
    </row>
    <row r="11">
      <c r="A11" t="inlineStr">
        <is>
          <t>Deep fins</t>
        </is>
      </c>
      <c r="B11" t="inlineStr">
        <is>
          <t>added facade depth</t>
        </is>
      </c>
      <c r="C11" t="n">
        <v>0.9</v>
      </c>
      <c r="D11" t="inlineStr">
        <is>
          <t>m</t>
        </is>
      </c>
      <c r="E11" t="inlineStr">
        <is>
          <t>studio section</t>
        </is>
      </c>
      <c r="F11" t="inlineStr">
        <is>
          <t>medium</t>
        </is>
      </c>
      <c r="G11">
        <f>VLOOKUP(B11,Criteria!$A:$G,3,FALSE)</f>
        <v/>
      </c>
      <c r="H11">
        <f>VLOOKUP(B11,Criteria!$A:$G,4,FALSE)</f>
        <v/>
      </c>
      <c r="I11" s="8">
        <f>VLOOKUP(B11,Criteria!$A:$G,5,FALSE)</f>
        <v/>
      </c>
      <c r="J11" s="8">
        <f>VLOOKUP(B11,Criteria!$A:$G,6,FALSE)</f>
        <v/>
      </c>
      <c r="K11">
        <f>IF(G11="&lt;=",IF(C11&lt;=H11,"pass",IF(C11&lt;=H11*(1+I11),"review","fail")),IF(C11&gt;=H11,"pass",IF(C11&gt;=H11*(1-I11),"review","fail")))</f>
        <v/>
      </c>
      <c r="L11" s="8">
        <f>IF(K11="pass",J11,IF(K11="review",J11*0.5,0))</f>
        <v/>
      </c>
      <c r="M11" s="7" t="inlineStr">
        <is>
          <t>Facade depth may conflict with circulation or envelope limits</t>
        </is>
      </c>
    </row>
    <row r="12">
      <c r="A12" t="inlineStr">
        <is>
          <t>High greenery</t>
        </is>
      </c>
      <c r="B12" t="inlineStr">
        <is>
          <t>morning glare</t>
        </is>
      </c>
      <c r="C12" t="n">
        <v>2.1</v>
      </c>
      <c r="D12" t="inlineStr">
        <is>
          <t>h/day</t>
        </is>
      </c>
      <c r="E12" t="inlineStr">
        <is>
          <t>proxy model</t>
        </is>
      </c>
      <c r="F12" t="inlineStr">
        <is>
          <t>low</t>
        </is>
      </c>
      <c r="G12">
        <f>VLOOKUP(B12,Criteria!$A:$G,3,FALSE)</f>
        <v/>
      </c>
      <c r="H12">
        <f>VLOOKUP(B12,Criteria!$A:$G,4,FALSE)</f>
        <v/>
      </c>
      <c r="I12" s="8">
        <f>VLOOKUP(B12,Criteria!$A:$G,5,FALSE)</f>
        <v/>
      </c>
      <c r="J12" s="8">
        <f>VLOOKUP(B12,Criteria!$A:$G,6,FALSE)</f>
        <v/>
      </c>
      <c r="K12">
        <f>IF(G12="&lt;=",IF(C12&lt;=H12,"pass",IF(C12&lt;=H12*(1+I12),"review","fail")),IF(C12&gt;=H12,"pass",IF(C12&gt;=H12*(1-I12),"review","fail")))</f>
        <v/>
      </c>
      <c r="L12" s="8">
        <f>IF(K12="pass",J12,IF(K12="review",J12*0.5,0))</f>
        <v/>
      </c>
      <c r="M12" s="7" t="inlineStr">
        <is>
          <t>Near threshold; needs better solar check</t>
        </is>
      </c>
    </row>
    <row r="13">
      <c r="A13" t="inlineStr">
        <is>
          <t>High greenery</t>
        </is>
      </c>
      <c r="B13" t="inlineStr">
        <is>
          <t>view openness</t>
        </is>
      </c>
      <c r="C13" t="n">
        <v>0.52</v>
      </c>
      <c r="D13" t="inlineStr">
        <is>
          <t>fraction</t>
        </is>
      </c>
      <c r="E13" t="inlineStr">
        <is>
          <t>facade elevation takeoff</t>
        </is>
      </c>
      <c r="F13" t="inlineStr">
        <is>
          <t>medium</t>
        </is>
      </c>
      <c r="G13">
        <f>VLOOKUP(B13,Criteria!$A:$G,3,FALSE)</f>
        <v/>
      </c>
      <c r="H13">
        <f>VLOOKUP(B13,Criteria!$A:$G,4,FALSE)</f>
        <v/>
      </c>
      <c r="I13" s="8">
        <f>VLOOKUP(B13,Criteria!$A:$G,5,FALSE)</f>
        <v/>
      </c>
      <c r="J13" s="8">
        <f>VLOOKUP(B13,Criteria!$A:$G,6,FALSE)</f>
        <v/>
      </c>
      <c r="K13">
        <f>IF(G13="&lt;=",IF(C13&lt;=H13,"pass",IF(C13&lt;=H13*(1+I13),"review","fail")),IF(C13&gt;=H13,"pass",IF(C13&gt;=H13*(1-I13),"review","fail")))</f>
        <v/>
      </c>
      <c r="L13" s="8">
        <f>IF(K13="pass",J13,IF(K13="review",J13*0.5,0))</f>
        <v/>
      </c>
      <c r="M13" s="7" t="inlineStr">
        <is>
          <t>Green layer blocks more view than intended</t>
        </is>
      </c>
    </row>
    <row r="14">
      <c r="A14" t="inlineStr">
        <is>
          <t>High greenery</t>
        </is>
      </c>
      <c r="B14" t="inlineStr">
        <is>
          <t>planting depth</t>
        </is>
      </c>
      <c r="C14" t="n">
        <v>1.2</v>
      </c>
      <c r="D14" t="inlineStr">
        <is>
          <t>m</t>
        </is>
      </c>
      <c r="E14" t="inlineStr">
        <is>
          <t>studio section</t>
        </is>
      </c>
      <c r="F14" t="inlineStr">
        <is>
          <t>high</t>
        </is>
      </c>
      <c r="G14">
        <f>VLOOKUP(B14,Criteria!$A:$G,3,FALSE)</f>
        <v/>
      </c>
      <c r="H14">
        <f>VLOOKUP(B14,Criteria!$A:$G,4,FALSE)</f>
        <v/>
      </c>
      <c r="I14" s="8">
        <f>VLOOKUP(B14,Criteria!$A:$G,5,FALSE)</f>
        <v/>
      </c>
      <c r="J14" s="8">
        <f>VLOOKUP(B14,Criteria!$A:$G,6,FALSE)</f>
        <v/>
      </c>
      <c r="K14">
        <f>IF(G14="&lt;=",IF(C14&lt;=H14,"pass",IF(C14&lt;=H14*(1+I14),"review","fail")),IF(C14&gt;=H14,"pass",IF(C14&gt;=H14*(1-I14),"review","fail")))</f>
        <v/>
      </c>
      <c r="L14" s="8">
        <f>IF(K14="pass",J14,IF(K14="review",J14*0.5,0))</f>
        <v/>
      </c>
      <c r="M14" s="7" t="inlineStr">
        <is>
          <t>Strongest planting support</t>
        </is>
      </c>
    </row>
    <row r="15">
      <c r="A15" t="inlineStr">
        <is>
          <t>High greenery</t>
        </is>
      </c>
      <c r="B15" t="inlineStr">
        <is>
          <t>solar gain proxy</t>
        </is>
      </c>
      <c r="C15" t="n">
        <v>48.4</v>
      </c>
      <c r="D15" t="inlineStr">
        <is>
          <t>index</t>
        </is>
      </c>
      <c r="E15" t="inlineStr">
        <is>
          <t>spreadsheet proxy</t>
        </is>
      </c>
      <c r="F15" t="inlineStr">
        <is>
          <t>low</t>
        </is>
      </c>
      <c r="G15">
        <f>VLOOKUP(B15,Criteria!$A:$G,3,FALSE)</f>
        <v/>
      </c>
      <c r="H15">
        <f>VLOOKUP(B15,Criteria!$A:$G,4,FALSE)</f>
        <v/>
      </c>
      <c r="I15" s="8">
        <f>VLOOKUP(B15,Criteria!$A:$G,5,FALSE)</f>
        <v/>
      </c>
      <c r="J15" s="8">
        <f>VLOOKUP(B15,Criteria!$A:$G,6,FALSE)</f>
        <v/>
      </c>
      <c r="K15">
        <f>IF(G15="&lt;=",IF(C15&lt;=H15,"pass",IF(C15&lt;=H15*(1+I15),"review","fail")),IF(C15&gt;=H15,"pass",IF(C15&gt;=H15*(1-I15),"review","fail")))</f>
        <v/>
      </c>
      <c r="L15" s="8">
        <f>IF(K15="pass",J15,IF(K15="review",J15*0.5,0))</f>
        <v/>
      </c>
      <c r="M15" s="7" t="inlineStr">
        <is>
          <t>Close enough to require a better daylight/heat check</t>
        </is>
      </c>
    </row>
    <row r="16">
      <c r="A16" t="inlineStr">
        <is>
          <t>High greenery</t>
        </is>
      </c>
      <c r="B16" t="inlineStr">
        <is>
          <t>added facade depth</t>
        </is>
      </c>
      <c r="C16" t="n">
        <v>0.45</v>
      </c>
      <c r="D16" t="inlineStr">
        <is>
          <t>m</t>
        </is>
      </c>
      <c r="E16" t="inlineStr">
        <is>
          <t>studio section</t>
        </is>
      </c>
      <c r="F16" t="inlineStr">
        <is>
          <t>medium</t>
        </is>
      </c>
      <c r="G16">
        <f>VLOOKUP(B16,Criteria!$A:$G,3,FALSE)</f>
        <v/>
      </c>
      <c r="H16">
        <f>VLOOKUP(B16,Criteria!$A:$G,4,FALSE)</f>
        <v/>
      </c>
      <c r="I16" s="8">
        <f>VLOOKUP(B16,Criteria!$A:$G,5,FALSE)</f>
        <v/>
      </c>
      <c r="J16" s="8">
        <f>VLOOKUP(B16,Criteria!$A:$G,6,FALSE)</f>
        <v/>
      </c>
      <c r="K16">
        <f>IF(G16="&lt;=",IF(C16&lt;=H16,"pass",IF(C16&lt;=H16*(1+I16),"review","fail")),IF(C16&gt;=H16,"pass",IF(C16&gt;=H16*(1-I16),"review","fail")))</f>
        <v/>
      </c>
      <c r="L16" s="8">
        <f>IF(K16="pass",J16,IF(K16="review",J16*0.5,0))</f>
        <v/>
      </c>
      <c r="M16" s="7" t="inlineStr">
        <is>
          <t>Depth remains manageable</t>
        </is>
      </c>
    </row>
    <row r="17">
      <c r="A17" t="inlineStr">
        <is>
          <t>Hybrid</t>
        </is>
      </c>
      <c r="B17" t="inlineStr">
        <is>
          <t>morning glare</t>
        </is>
      </c>
      <c r="C17" t="n">
        <v>1.7</v>
      </c>
      <c r="D17" t="inlineStr">
        <is>
          <t>h/day</t>
        </is>
      </c>
      <c r="E17" t="inlineStr">
        <is>
          <t>proxy model</t>
        </is>
      </c>
      <c r="F17" t="inlineStr">
        <is>
          <t>medium</t>
        </is>
      </c>
      <c r="G17">
        <f>VLOOKUP(B17,Criteria!$A:$G,3,FALSE)</f>
        <v/>
      </c>
      <c r="H17">
        <f>VLOOKUP(B17,Criteria!$A:$G,4,FALSE)</f>
        <v/>
      </c>
      <c r="I17" s="8">
        <f>VLOOKUP(B17,Criteria!$A:$G,5,FALSE)</f>
        <v/>
      </c>
      <c r="J17" s="8">
        <f>VLOOKUP(B17,Criteria!$A:$G,6,FALSE)</f>
        <v/>
      </c>
      <c r="K17">
        <f>IF(G17="&lt;=",IF(C17&lt;=H17,"pass",IF(C17&lt;=H17*(1+I17),"review","fail")),IF(C17&gt;=H17,"pass",IF(C17&gt;=H17*(1-I17),"review","fail")))</f>
        <v/>
      </c>
      <c r="L17" s="8">
        <f>IF(K17="pass",J17,IF(K17="review",J17*0.5,0))</f>
        <v/>
      </c>
      <c r="M17" s="7" t="inlineStr">
        <is>
          <t>Moderate fins handle glare</t>
        </is>
      </c>
    </row>
    <row r="18">
      <c r="A18" t="inlineStr">
        <is>
          <t>Hybrid</t>
        </is>
      </c>
      <c r="B18" t="inlineStr">
        <is>
          <t>view openness</t>
        </is>
      </c>
      <c r="C18" t="n">
        <v>0.61</v>
      </c>
      <c r="D18" t="inlineStr">
        <is>
          <t>fraction</t>
        </is>
      </c>
      <c r="E18" t="inlineStr">
        <is>
          <t>facade elevation takeoff</t>
        </is>
      </c>
      <c r="F18" t="inlineStr">
        <is>
          <t>medium</t>
        </is>
      </c>
      <c r="G18">
        <f>VLOOKUP(B18,Criteria!$A:$G,3,FALSE)</f>
        <v/>
      </c>
      <c r="H18">
        <f>VLOOKUP(B18,Criteria!$A:$G,4,FALSE)</f>
        <v/>
      </c>
      <c r="I18" s="8">
        <f>VLOOKUP(B18,Criteria!$A:$G,5,FALSE)</f>
        <v/>
      </c>
      <c r="J18" s="8">
        <f>VLOOKUP(B18,Criteria!$A:$G,6,FALSE)</f>
        <v/>
      </c>
      <c r="K18">
        <f>IF(G18="&lt;=",IF(C18&lt;=H18,"pass",IF(C18&lt;=H18*(1+I18),"review","fail")),IF(C18&gt;=H18,"pass",IF(C18&gt;=H18*(1-I18),"review","fail")))</f>
        <v/>
      </c>
      <c r="L18" s="8">
        <f>IF(K18="pass",J18,IF(K18="review",J18*0.5,0))</f>
        <v/>
      </c>
      <c r="M18" s="7" t="inlineStr">
        <is>
          <t>View is still legible</t>
        </is>
      </c>
    </row>
    <row r="19">
      <c r="A19" t="inlineStr">
        <is>
          <t>Hybrid</t>
        </is>
      </c>
      <c r="B19" t="inlineStr">
        <is>
          <t>planting depth</t>
        </is>
      </c>
      <c r="C19" t="n">
        <v>0.95</v>
      </c>
      <c r="D19" t="inlineStr">
        <is>
          <t>m</t>
        </is>
      </c>
      <c r="E19" t="inlineStr">
        <is>
          <t>studio section</t>
        </is>
      </c>
      <c r="F19" t="inlineStr">
        <is>
          <t>high</t>
        </is>
      </c>
      <c r="G19">
        <f>VLOOKUP(B19,Criteria!$A:$G,3,FALSE)</f>
        <v/>
      </c>
      <c r="H19">
        <f>VLOOKUP(B19,Criteria!$A:$G,4,FALSE)</f>
        <v/>
      </c>
      <c r="I19" s="8">
        <f>VLOOKUP(B19,Criteria!$A:$G,5,FALSE)</f>
        <v/>
      </c>
      <c r="J19" s="8">
        <f>VLOOKUP(B19,Criteria!$A:$G,6,FALSE)</f>
        <v/>
      </c>
      <c r="K19">
        <f>IF(G19="&lt;=",IF(C19&lt;=H19,"pass",IF(C19&lt;=H19*(1+I19),"review","fail")),IF(C19&gt;=H19,"pass",IF(C19&gt;=H19*(1-I19),"review","fail")))</f>
        <v/>
      </c>
      <c r="L19" s="8">
        <f>IF(K19="pass",J19,IF(K19="review",J19*0.5,0))</f>
        <v/>
      </c>
      <c r="M19" s="7" t="inlineStr">
        <is>
          <t>Planting claim is supportable</t>
        </is>
      </c>
    </row>
    <row r="20">
      <c r="A20" t="inlineStr">
        <is>
          <t>Hybrid</t>
        </is>
      </c>
      <c r="B20" t="inlineStr">
        <is>
          <t>solar gain proxy</t>
        </is>
      </c>
      <c r="C20" t="n">
        <v>42.9</v>
      </c>
      <c r="D20" t="inlineStr">
        <is>
          <t>index</t>
        </is>
      </c>
      <c r="E20" t="inlineStr">
        <is>
          <t>spreadsheet proxy</t>
        </is>
      </c>
      <c r="F20" t="inlineStr">
        <is>
          <t>medium</t>
        </is>
      </c>
      <c r="G20">
        <f>VLOOKUP(B20,Criteria!$A:$G,3,FALSE)</f>
        <v/>
      </c>
      <c r="H20">
        <f>VLOOKUP(B20,Criteria!$A:$G,4,FALSE)</f>
        <v/>
      </c>
      <c r="I20" s="8">
        <f>VLOOKUP(B20,Criteria!$A:$G,5,FALSE)</f>
        <v/>
      </c>
      <c r="J20" s="8">
        <f>VLOOKUP(B20,Criteria!$A:$G,6,FALSE)</f>
        <v/>
      </c>
      <c r="K20">
        <f>IF(G20="&lt;=",IF(C20&lt;=H20,"pass",IF(C20&lt;=H20*(1+I20),"review","fail")),IF(C20&gt;=H20,"pass",IF(C20&gt;=H20*(1-I20),"review","fail")))</f>
        <v/>
      </c>
      <c r="L20" s="8">
        <f>IF(K20="pass",J20,IF(K20="review",J20*0.5,0))</f>
        <v/>
      </c>
      <c r="M20" s="7" t="inlineStr">
        <is>
          <t>Heat proxy is below threshold</t>
        </is>
      </c>
    </row>
    <row r="21">
      <c r="A21" t="inlineStr">
        <is>
          <t>Hybrid</t>
        </is>
      </c>
      <c r="B21" t="inlineStr">
        <is>
          <t>added facade depth</t>
        </is>
      </c>
      <c r="C21" t="n">
        <v>0.68</v>
      </c>
      <c r="D21" t="inlineStr">
        <is>
          <t>m</t>
        </is>
      </c>
      <c r="E21" t="inlineStr">
        <is>
          <t>studio section</t>
        </is>
      </c>
      <c r="F21" t="inlineStr">
        <is>
          <t>medium</t>
        </is>
      </c>
      <c r="G21">
        <f>VLOOKUP(B21,Criteria!$A:$G,3,FALSE)</f>
        <v/>
      </c>
      <c r="H21">
        <f>VLOOKUP(B21,Criteria!$A:$G,4,FALSE)</f>
        <v/>
      </c>
      <c r="I21" s="8">
        <f>VLOOKUP(B21,Criteria!$A:$G,5,FALSE)</f>
        <v/>
      </c>
      <c r="J21" s="8">
        <f>VLOOKUP(B21,Criteria!$A:$G,6,FALSE)</f>
        <v/>
      </c>
      <c r="K21">
        <f>IF(G21="&lt;=",IF(C21&lt;=H21,"pass",IF(C21&lt;=H21*(1+I21),"review","fail")),IF(C21&gt;=H21,"pass",IF(C21&gt;=H21*(1-I21),"review","fail")))</f>
        <v/>
      </c>
      <c r="L21" s="8">
        <f>IF(K21="pass",J21,IF(K21="review",J21*0.5,0))</f>
        <v/>
      </c>
      <c r="M21" s="7" t="inlineStr">
        <is>
          <t>Depth remains within the facade allowance</t>
        </is>
      </c>
    </row>
    <row r="22">
      <c r="A22" t="inlineStr">
        <is>
          <t>Compact opening</t>
        </is>
      </c>
      <c r="B22" t="inlineStr">
        <is>
          <t>morning glare</t>
        </is>
      </c>
      <c r="C22" t="n">
        <v>1.2</v>
      </c>
      <c r="D22" t="inlineStr">
        <is>
          <t>h/day</t>
        </is>
      </c>
      <c r="E22" t="inlineStr">
        <is>
          <t>proxy model</t>
        </is>
      </c>
      <c r="F22" t="inlineStr">
        <is>
          <t>medium</t>
        </is>
      </c>
      <c r="G22">
        <f>VLOOKUP(B22,Criteria!$A:$G,3,FALSE)</f>
        <v/>
      </c>
      <c r="H22">
        <f>VLOOKUP(B22,Criteria!$A:$G,4,FALSE)</f>
        <v/>
      </c>
      <c r="I22" s="8">
        <f>VLOOKUP(B22,Criteria!$A:$G,5,FALSE)</f>
        <v/>
      </c>
      <c r="J22" s="8">
        <f>VLOOKUP(B22,Criteria!$A:$G,6,FALSE)</f>
        <v/>
      </c>
      <c r="K22">
        <f>IF(G22="&lt;=",IF(C22&lt;=H22,"pass",IF(C22&lt;=H22*(1+I22),"review","fail")),IF(C22&gt;=H22,"pass",IF(C22&gt;=H22*(1-I22),"review","fail")))</f>
        <v/>
      </c>
      <c r="L22" s="8">
        <f>IF(K22="pass",J22,IF(K22="review",J22*0.5,0))</f>
        <v/>
      </c>
      <c r="M22" s="7" t="inlineStr">
        <is>
          <t>Smaller opening controls glare well</t>
        </is>
      </c>
    </row>
    <row r="23">
      <c r="A23" t="inlineStr">
        <is>
          <t>Compact opening</t>
        </is>
      </c>
      <c r="B23" t="inlineStr">
        <is>
          <t>view openness</t>
        </is>
      </c>
      <c r="C23" t="n">
        <v>0.49</v>
      </c>
      <c r="D23" t="inlineStr">
        <is>
          <t>fraction</t>
        </is>
      </c>
      <c r="E23" t="inlineStr">
        <is>
          <t>facade elevation takeoff</t>
        </is>
      </c>
      <c r="F23" t="inlineStr">
        <is>
          <t>medium</t>
        </is>
      </c>
      <c r="G23">
        <f>VLOOKUP(B23,Criteria!$A:$G,3,FALSE)</f>
        <v/>
      </c>
      <c r="H23">
        <f>VLOOKUP(B23,Criteria!$A:$G,4,FALSE)</f>
        <v/>
      </c>
      <c r="I23" s="8">
        <f>VLOOKUP(B23,Criteria!$A:$G,5,FALSE)</f>
        <v/>
      </c>
      <c r="J23" s="8">
        <f>VLOOKUP(B23,Criteria!$A:$G,6,FALSE)</f>
        <v/>
      </c>
      <c r="K23">
        <f>IF(G23="&lt;=",IF(C23&lt;=H23,"pass",IF(C23&lt;=H23*(1+I23),"review","fail")),IF(C23&gt;=H23,"pass",IF(C23&gt;=H23*(1-I23),"review","fail")))</f>
        <v/>
      </c>
      <c r="L23" s="8">
        <f>IF(K23="pass",J23,IF(K23="review",J23*0.5,0))</f>
        <v/>
      </c>
      <c r="M23" s="7" t="inlineStr">
        <is>
          <t>View quality falls below the stated claim</t>
        </is>
      </c>
    </row>
    <row r="24">
      <c r="A24" t="inlineStr">
        <is>
          <t>Compact opening</t>
        </is>
      </c>
      <c r="B24" t="inlineStr">
        <is>
          <t>planting depth</t>
        </is>
      </c>
      <c r="C24" t="n">
        <v>0.4</v>
      </c>
      <c r="D24" t="inlineStr">
        <is>
          <t>m</t>
        </is>
      </c>
      <c r="E24" t="inlineStr">
        <is>
          <t>studio section</t>
        </is>
      </c>
      <c r="F24" t="inlineStr">
        <is>
          <t>high</t>
        </is>
      </c>
      <c r="G24">
        <f>VLOOKUP(B24,Criteria!$A:$G,3,FALSE)</f>
        <v/>
      </c>
      <c r="H24">
        <f>VLOOKUP(B24,Criteria!$A:$G,4,FALSE)</f>
        <v/>
      </c>
      <c r="I24" s="8">
        <f>VLOOKUP(B24,Criteria!$A:$G,5,FALSE)</f>
        <v/>
      </c>
      <c r="J24" s="8">
        <f>VLOOKUP(B24,Criteria!$A:$G,6,FALSE)</f>
        <v/>
      </c>
      <c r="K24">
        <f>IF(G24="&lt;=",IF(C24&lt;=H24,"pass",IF(C24&lt;=H24*(1+I24),"review","fail")),IF(C24&gt;=H24,"pass",IF(C24&gt;=H24*(1-I24),"review","fail")))</f>
        <v/>
      </c>
      <c r="L24" s="8">
        <f>IF(K24="pass",J24,IF(K24="review",J24*0.5,0))</f>
        <v/>
      </c>
      <c r="M24" s="7" t="inlineStr">
        <is>
          <t>Planting cannot support the greenery argument</t>
        </is>
      </c>
    </row>
    <row r="25">
      <c r="A25" t="inlineStr">
        <is>
          <t>Compact opening</t>
        </is>
      </c>
      <c r="B25" t="inlineStr">
        <is>
          <t>solar gain proxy</t>
        </is>
      </c>
      <c r="C25" t="n">
        <v>37.4</v>
      </c>
      <c r="D25" t="inlineStr">
        <is>
          <t>index</t>
        </is>
      </c>
      <c r="E25" t="inlineStr">
        <is>
          <t>spreadsheet proxy</t>
        </is>
      </c>
      <c r="F25" t="inlineStr">
        <is>
          <t>medium</t>
        </is>
      </c>
      <c r="G25">
        <f>VLOOKUP(B25,Criteria!$A:$G,3,FALSE)</f>
        <v/>
      </c>
      <c r="H25">
        <f>VLOOKUP(B25,Criteria!$A:$G,4,FALSE)</f>
        <v/>
      </c>
      <c r="I25" s="8">
        <f>VLOOKUP(B25,Criteria!$A:$G,5,FALSE)</f>
        <v/>
      </c>
      <c r="J25" s="8">
        <f>VLOOKUP(B25,Criteria!$A:$G,6,FALSE)</f>
        <v/>
      </c>
      <c r="K25">
        <f>IF(G25="&lt;=",IF(C25&lt;=H25,"pass",IF(C25&lt;=H25*(1+I25),"review","fail")),IF(C25&gt;=H25,"pass",IF(C25&gt;=H25*(1-I25),"review","fail")))</f>
        <v/>
      </c>
      <c r="L25" s="8">
        <f>IF(K25="pass",J25,IF(K25="review",J25*0.5,0))</f>
        <v/>
      </c>
      <c r="M25" s="7" t="inlineStr">
        <is>
          <t>Heat proxy is strong</t>
        </is>
      </c>
    </row>
    <row r="26">
      <c r="A26" t="inlineStr">
        <is>
          <t>Compact opening</t>
        </is>
      </c>
      <c r="B26" t="inlineStr">
        <is>
          <t>added facade depth</t>
        </is>
      </c>
      <c r="C26" t="n">
        <v>0.5</v>
      </c>
      <c r="D26" t="inlineStr">
        <is>
          <t>m</t>
        </is>
      </c>
      <c r="E26" t="inlineStr">
        <is>
          <t>studio section</t>
        </is>
      </c>
      <c r="F26" t="inlineStr">
        <is>
          <t>medium</t>
        </is>
      </c>
      <c r="G26">
        <f>VLOOKUP(B26,Criteria!$A:$G,3,FALSE)</f>
        <v/>
      </c>
      <c r="H26">
        <f>VLOOKUP(B26,Criteria!$A:$G,4,FALSE)</f>
        <v/>
      </c>
      <c r="I26" s="8">
        <f>VLOOKUP(B26,Criteria!$A:$G,5,FALSE)</f>
        <v/>
      </c>
      <c r="J26" s="8">
        <f>VLOOKUP(B26,Criteria!$A:$G,6,FALSE)</f>
        <v/>
      </c>
      <c r="K26">
        <f>IF(G26="&lt;=",IF(C26&lt;=H26,"pass",IF(C26&lt;=H26*(1+I26),"review","fail")),IF(C26&gt;=H26,"pass",IF(C26&gt;=H26*(1-I26),"review","fail")))</f>
        <v/>
      </c>
      <c r="L26" s="8">
        <f>IF(K26="pass",J26,IF(K26="review",J26*0.5,0))</f>
        <v/>
      </c>
      <c r="M26" s="7" t="inlineStr">
        <is>
          <t>Depth remains manageable</t>
        </is>
      </c>
    </row>
  </sheetData>
  <conditionalFormatting sqref="K2:K26">
    <cfRule type="expression" priority="1" dxfId="0">
      <formula>K2="pass"</formula>
    </cfRule>
    <cfRule type="expression" priority="2" dxfId="1">
      <formula>K2="review"</formula>
    </cfRule>
    <cfRule type="expression" priority="3" dxfId="2">
      <formula>K2="fail"</formula>
    </cfRule>
  </conditionalFormatting>
  <dataValidations count="1">
    <dataValidation sqref="F2 F3 F4 F5 F6 F7 F8 F9 F10 F11 F12 F13 F14 F15 F16 F17 F18 F19 F20 F21 F22 F23 F24 F25 F26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8" customWidth="1" min="8" max="8"/>
    <col width="42" customWidth="1" min="9" max="9"/>
    <col width="42" customWidth="1" min="10" max="10"/>
  </cols>
  <sheetData>
    <row r="1">
      <c r="A1" s="4" t="inlineStr">
        <is>
          <t>variant</t>
        </is>
      </c>
      <c r="B1" s="4" t="inlineStr">
        <is>
          <t>pass_count</t>
        </is>
      </c>
      <c r="C1" s="4" t="inlineStr">
        <is>
          <t>review_count</t>
        </is>
      </c>
      <c r="D1" s="4" t="inlineStr">
        <is>
          <t>fail_count</t>
        </is>
      </c>
      <c r="E1" s="4" t="inlineStr">
        <is>
          <t>total_criteria</t>
        </is>
      </c>
      <c r="F1" s="4" t="inlineStr">
        <is>
          <t>score_pct</t>
        </is>
      </c>
      <c r="G1" s="4" t="inlineStr">
        <is>
          <t>status</t>
        </is>
      </c>
      <c r="H1" s="4" t="inlineStr">
        <is>
          <t>rank</t>
        </is>
      </c>
      <c r="I1" s="4" t="inlineStr">
        <is>
          <t>decision_note</t>
        </is>
      </c>
      <c r="J1" s="4" t="inlineStr">
        <is>
          <t>gh_action</t>
        </is>
      </c>
    </row>
    <row r="2">
      <c r="A2" t="inlineStr">
        <is>
          <t>Baseline</t>
        </is>
      </c>
      <c r="B2">
        <f>COUNTIFS(Decision_Matrix!$A:$A,A2,Decision_Matrix!$K:$K,"pass")</f>
        <v/>
      </c>
      <c r="C2">
        <f>COUNTIFS(Decision_Matrix!$A:$A,A2,Decision_Matrix!$K:$K,"review")</f>
        <v/>
      </c>
      <c r="D2">
        <f>COUNTIFS(Decision_Matrix!$A:$A,A2,Decision_Matrix!$K:$K,"fail")</f>
        <v/>
      </c>
      <c r="E2">
        <f>SUM(B2:D2)</f>
        <v/>
      </c>
      <c r="F2" s="9">
        <f>ROUND(SUMIF(Decision_Matrix!$A:$A,A2,Decision_Matrix!$L:$L)/SUMIF(Decision_Matrix!$A:$A,A2,Decision_Matrix!$J:$J)*100,0)</f>
        <v/>
      </c>
      <c r="G2">
        <f>IF(D2&gt;=Score_Rules!$B$3,"revise",IF(F2&gt;=Score_Rules!$B$2,"candidate",IF(F2&gt;=Score_Rules!$B$4,"review","revise")))</f>
        <v/>
      </c>
      <c r="H2">
        <f>RANK(F2,$F$2:$F$6,0)</f>
        <v/>
      </c>
      <c r="I2" s="7">
        <f>IF(G2="candidate","Keep as design-development candidate",IF(G2="review","Revise or defend the borderline criterion","Revise before design development"))</f>
        <v/>
      </c>
      <c r="J2" s="7">
        <f>IF(G2="candidate","color green and keep",IF(G2="review","color amber and test revision","color red or cull from candidate set"))</f>
        <v/>
      </c>
    </row>
    <row r="3">
      <c r="A3" t="inlineStr">
        <is>
          <t>Deep fins</t>
        </is>
      </c>
      <c r="B3">
        <f>COUNTIFS(Decision_Matrix!$A:$A,A3,Decision_Matrix!$K:$K,"pass")</f>
        <v/>
      </c>
      <c r="C3">
        <f>COUNTIFS(Decision_Matrix!$A:$A,A3,Decision_Matrix!$K:$K,"review")</f>
        <v/>
      </c>
      <c r="D3">
        <f>COUNTIFS(Decision_Matrix!$A:$A,A3,Decision_Matrix!$K:$K,"fail")</f>
        <v/>
      </c>
      <c r="E3">
        <f>SUM(B3:D3)</f>
        <v/>
      </c>
      <c r="F3" s="9">
        <f>ROUND(SUMIF(Decision_Matrix!$A:$A,A3,Decision_Matrix!$L:$L)/SUMIF(Decision_Matrix!$A:$A,A3,Decision_Matrix!$J:$J)*100,0)</f>
        <v/>
      </c>
      <c r="G3">
        <f>IF(D3&gt;=Score_Rules!$B$3,"revise",IF(F3&gt;=Score_Rules!$B$2,"candidate",IF(F3&gt;=Score_Rules!$B$4,"review","revise")))</f>
        <v/>
      </c>
      <c r="H3">
        <f>RANK(F3,$F$2:$F$6,0)</f>
        <v/>
      </c>
      <c r="I3" s="7">
        <f>IF(G3="candidate","Keep as design-development candidate",IF(G3="review","Revise or defend the borderline criterion","Revise before design development"))</f>
        <v/>
      </c>
      <c r="J3" s="7">
        <f>IF(G3="candidate","color green and keep",IF(G3="review","color amber and test revision","color red or cull from candidate set"))</f>
        <v/>
      </c>
    </row>
    <row r="4">
      <c r="A4" t="inlineStr">
        <is>
          <t>High greenery</t>
        </is>
      </c>
      <c r="B4">
        <f>COUNTIFS(Decision_Matrix!$A:$A,A4,Decision_Matrix!$K:$K,"pass")</f>
        <v/>
      </c>
      <c r="C4">
        <f>COUNTIFS(Decision_Matrix!$A:$A,A4,Decision_Matrix!$K:$K,"review")</f>
        <v/>
      </c>
      <c r="D4">
        <f>COUNTIFS(Decision_Matrix!$A:$A,A4,Decision_Matrix!$K:$K,"fail")</f>
        <v/>
      </c>
      <c r="E4">
        <f>SUM(B4:D4)</f>
        <v/>
      </c>
      <c r="F4" s="9">
        <f>ROUND(SUMIF(Decision_Matrix!$A:$A,A4,Decision_Matrix!$L:$L)/SUMIF(Decision_Matrix!$A:$A,A4,Decision_Matrix!$J:$J)*100,0)</f>
        <v/>
      </c>
      <c r="G4">
        <f>IF(D4&gt;=Score_Rules!$B$3,"revise",IF(F4&gt;=Score_Rules!$B$2,"candidate",IF(F4&gt;=Score_Rules!$B$4,"review","revise")))</f>
        <v/>
      </c>
      <c r="H4">
        <f>RANK(F4,$F$2:$F$6,0)</f>
        <v/>
      </c>
      <c r="I4" s="7">
        <f>IF(G4="candidate","Keep as design-development candidate",IF(G4="review","Revise or defend the borderline criterion","Revise before design development"))</f>
        <v/>
      </c>
      <c r="J4" s="7">
        <f>IF(G4="candidate","color green and keep",IF(G4="review","color amber and test revision","color red or cull from candidate set"))</f>
        <v/>
      </c>
    </row>
    <row r="5">
      <c r="A5" t="inlineStr">
        <is>
          <t>Hybrid</t>
        </is>
      </c>
      <c r="B5">
        <f>COUNTIFS(Decision_Matrix!$A:$A,A5,Decision_Matrix!$K:$K,"pass")</f>
        <v/>
      </c>
      <c r="C5">
        <f>COUNTIFS(Decision_Matrix!$A:$A,A5,Decision_Matrix!$K:$K,"review")</f>
        <v/>
      </c>
      <c r="D5">
        <f>COUNTIFS(Decision_Matrix!$A:$A,A5,Decision_Matrix!$K:$K,"fail")</f>
        <v/>
      </c>
      <c r="E5">
        <f>SUM(B5:D5)</f>
        <v/>
      </c>
      <c r="F5" s="9">
        <f>ROUND(SUMIF(Decision_Matrix!$A:$A,A5,Decision_Matrix!$L:$L)/SUMIF(Decision_Matrix!$A:$A,A5,Decision_Matrix!$J:$J)*100,0)</f>
        <v/>
      </c>
      <c r="G5">
        <f>IF(D5&gt;=Score_Rules!$B$3,"revise",IF(F5&gt;=Score_Rules!$B$2,"candidate",IF(F5&gt;=Score_Rules!$B$4,"review","revise")))</f>
        <v/>
      </c>
      <c r="H5">
        <f>RANK(F5,$F$2:$F$6,0)</f>
        <v/>
      </c>
      <c r="I5" s="7">
        <f>IF(G5="candidate","Keep as design-development candidate",IF(G5="review","Revise or defend the borderline criterion","Revise before design development"))</f>
        <v/>
      </c>
      <c r="J5" s="7">
        <f>IF(G5="candidate","color green and keep",IF(G5="review","color amber and test revision","color red or cull from candidate set"))</f>
        <v/>
      </c>
    </row>
    <row r="6">
      <c r="A6" t="inlineStr">
        <is>
          <t>Compact opening</t>
        </is>
      </c>
      <c r="B6">
        <f>COUNTIFS(Decision_Matrix!$A:$A,A6,Decision_Matrix!$K:$K,"pass")</f>
        <v/>
      </c>
      <c r="C6">
        <f>COUNTIFS(Decision_Matrix!$A:$A,A6,Decision_Matrix!$K:$K,"review")</f>
        <v/>
      </c>
      <c r="D6">
        <f>COUNTIFS(Decision_Matrix!$A:$A,A6,Decision_Matrix!$K:$K,"fail")</f>
        <v/>
      </c>
      <c r="E6">
        <f>SUM(B6:D6)</f>
        <v/>
      </c>
      <c r="F6" s="9">
        <f>ROUND(SUMIF(Decision_Matrix!$A:$A,A6,Decision_Matrix!$L:$L)/SUMIF(Decision_Matrix!$A:$A,A6,Decision_Matrix!$J:$J)*100,0)</f>
        <v/>
      </c>
      <c r="G6">
        <f>IF(D6&gt;=Score_Rules!$B$3,"revise",IF(F6&gt;=Score_Rules!$B$2,"candidate",IF(F6&gt;=Score_Rules!$B$4,"review","revise")))</f>
        <v/>
      </c>
      <c r="H6">
        <f>RANK(F6,$F$2:$F$6,0)</f>
        <v/>
      </c>
      <c r="I6" s="7">
        <f>IF(G6="candidate","Keep as design-development candidate",IF(G6="review","Revise or defend the borderline criterion","Revise before design development"))</f>
        <v/>
      </c>
      <c r="J6" s="7">
        <f>IF(G6="candidate","color green and keep",IF(G6="review","color amber and test revision","color red or cull from candidate set"))</f>
        <v/>
      </c>
    </row>
  </sheetData>
  <conditionalFormatting sqref="F2:F6">
    <cfRule type="cellIs" priority="1" operator="greaterThanOrEqual" dxfId="0">
      <formula>80</formula>
    </cfRule>
    <cfRule type="cellIs" priority="2" operator="between" dxfId="1">
      <formula>50</formula>
      <formula>79</formula>
    </cfRule>
    <cfRule type="cellIs" priority="3" operator="lessThan" dxfId="2">
      <formula>50</formula>
    </cfRule>
  </conditionalFormatting>
  <conditionalFormatting sqref="G2:G6">
    <cfRule type="expression" priority="4" dxfId="0">
      <formula>G2="candidate"</formula>
    </cfRule>
    <cfRule type="expression" priority="5" dxfId="1">
      <formula>G2="review"</formula>
    </cfRule>
    <cfRule type="expression" priority="6" dxfId="2">
      <formula>G2="revise"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2026-06-22T23:28:31Z</dcterms:created>
  <dcterms:modified xmlns:dcterms="http://purl.org/dc/terms/" xmlns:xsi="http://www.w3.org/2001/XMLSchema-instance" xsi:type="dcterms:W3CDTF">2026-06-22T23:28:31Z</dcterms:modified>
</cp:coreProperties>
</file>